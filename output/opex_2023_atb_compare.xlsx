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y Drive\2025 Plant Costs\output\"/>
    </mc:Choice>
  </mc:AlternateContent>
  <xr:revisionPtr revIDLastSave="0" documentId="13_ncr:1_{2CF044F9-6974-4E7E-B663-63919CAB710B}" xr6:coauthVersionLast="47" xr6:coauthVersionMax="47" xr10:uidLastSave="{00000000-0000-0000-0000-000000000000}"/>
  <bookViews>
    <workbookView xWindow="-23970" yWindow="5205" windowWidth="21495" windowHeight="8295" xr2:uid="{53284C89-5334-4AEE-B28D-5BFB655E23A8}"/>
  </bookViews>
  <sheets>
    <sheet name="opex_2023_atb_comp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K4" i="1"/>
  <c r="K5" i="1"/>
  <c r="K2" i="1"/>
  <c r="J3" i="1"/>
  <c r="K3" i="1" s="1"/>
  <c r="J4" i="1"/>
  <c r="J5" i="1"/>
  <c r="J2" i="1"/>
  <c r="E8" i="1"/>
  <c r="E9" i="1" s="1"/>
  <c r="I3" i="1"/>
  <c r="I4" i="1"/>
  <c r="I5" i="1"/>
</calcChain>
</file>

<file path=xl/sharedStrings.xml><?xml version="1.0" encoding="utf-8"?>
<sst xmlns="http://schemas.openxmlformats.org/spreadsheetml/2006/main" count="24" uniqueCount="18">
  <si>
    <t>technology_description</t>
  </si>
  <si>
    <t>Number of Units</t>
  </si>
  <si>
    <t>Capacity (MW)</t>
  </si>
  <si>
    <t>Avg Unit Capacity (MW)</t>
  </si>
  <si>
    <t>Generation (MWh)</t>
  </si>
  <si>
    <t>Max Generation (MWh)</t>
  </si>
  <si>
    <t>Capacity Factor (%)</t>
  </si>
  <si>
    <t>Coal</t>
  </si>
  <si>
    <t>Natural Gas Fired CC</t>
  </si>
  <si>
    <t>Natural Gas Fired CT</t>
  </si>
  <si>
    <t>Nuclear</t>
  </si>
  <si>
    <t>NREL ATB 2023</t>
  </si>
  <si>
    <t>VOM $/MWh</t>
  </si>
  <si>
    <t>Avg Total OPEX per Plant ($)</t>
  </si>
  <si>
    <t>FOM $/kw-yr</t>
  </si>
  <si>
    <t>ATB FOM</t>
  </si>
  <si>
    <t>ATB VOM</t>
  </si>
  <si>
    <t>ATB 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</si>
</sst>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-* #,##0.00_-;\-* #,##0.00_-;_-* &quot;-&quot;??_-;_-@_-"/>
  </numFmts>
  <fonts count="3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8"/>
      <color theme="3"/>
      <name val="Aptos Display"/>
      <family val="2"/>
      <scheme val="major"/>
    </font>
    <font>
      <sz val="11"/>
      <color theme="1"/>
      <name val="Times New Roman"/>
      <family val="2"/>
    </font>
    <font>
      <b/>
      <sz val="10"/>
      <color rgb="FF00B050"/>
      <name val="Helvetica Neue"/>
      <family val="2"/>
    </font>
    <font>
      <b/>
      <sz val="10"/>
      <color theme="9"/>
      <name val="Helvetica Neue"/>
      <family val="2"/>
    </font>
    <font>
      <b/>
      <sz val="13"/>
      <color theme="3"/>
      <name val="Times New Roman"/>
      <family val="2"/>
    </font>
    <font>
      <b/>
      <sz val="10"/>
      <color theme="6"/>
      <name val="Helvetica Neue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Calibri"/>
      <family val="2"/>
    </font>
    <font>
      <u/>
      <sz val="10"/>
      <color indexed="12"/>
      <name val="Arial"/>
      <family val="2"/>
    </font>
    <font>
      <b/>
      <sz val="10"/>
      <color theme="7"/>
      <name val="Helvetica Neue"/>
      <family val="2"/>
    </font>
    <font>
      <b/>
      <sz val="10"/>
      <color rgb="FF00B0F0"/>
      <name val="Helvetica Neue"/>
      <family val="2"/>
    </font>
    <font>
      <sz val="10"/>
      <name val="Helvetica Neue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Helvetica Neue"/>
      <family val="2"/>
    </font>
    <font>
      <b/>
      <sz val="10"/>
      <color theme="1"/>
      <name val="Helvetica Neue"/>
      <family val="2"/>
    </font>
    <font>
      <b/>
      <sz val="10"/>
      <color theme="5"/>
      <name val="Helvetica Neue"/>
      <family val="2"/>
    </font>
    <font>
      <b/>
      <sz val="10"/>
      <color rgb="FF7F7F7F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52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  <xf numFmtId="0" fontId="22" fillId="10" borderId="0" applyNumberFormat="0" applyBorder="0" applyAlignment="0" applyProtection="0"/>
    <xf numFmtId="0" fontId="18" fillId="10" borderId="0" applyNumberFormat="0" applyBorder="0" applyAlignment="0" applyProtection="0"/>
    <xf numFmtId="0" fontId="22" fillId="14" borderId="0" applyNumberFormat="0" applyBorder="0" applyAlignment="0" applyProtection="0"/>
    <xf numFmtId="0" fontId="18" fillId="14" borderId="0" applyNumberFormat="0" applyBorder="0" applyAlignment="0" applyProtection="0"/>
    <xf numFmtId="0" fontId="22" fillId="18" borderId="0" applyNumberFormat="0" applyBorder="0" applyAlignment="0" applyProtection="0"/>
    <xf numFmtId="0" fontId="18" fillId="18" borderId="0" applyNumberFormat="0" applyBorder="0" applyAlignment="0" applyProtection="0"/>
    <xf numFmtId="0" fontId="22" fillId="22" borderId="0" applyNumberFormat="0" applyBorder="0" applyAlignment="0" applyProtection="0"/>
    <xf numFmtId="0" fontId="18" fillId="22" borderId="0" applyNumberFormat="0" applyBorder="0" applyAlignment="0" applyProtection="0"/>
    <xf numFmtId="165" fontId="23" fillId="0" borderId="0" applyFill="0" applyProtection="0">
      <alignment horizontal="right" vertical="center"/>
    </xf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9" fontId="24" fillId="0" borderId="0" applyFill="0" applyBorder="0" applyProtection="0">
      <alignment horizontal="right" vertical="center"/>
    </xf>
    <xf numFmtId="0" fontId="25" fillId="0" borderId="2" applyNumberFormat="0" applyFill="0" applyAlignment="0" applyProtection="0"/>
    <xf numFmtId="0" fontId="26" fillId="0" borderId="0" applyFill="0" applyBorder="0" applyProtection="0">
      <alignment horizontal="right" vertical="center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31" fillId="0" borderId="0" applyFill="0" applyProtection="0">
      <alignment horizontal="right" vertical="center"/>
    </xf>
    <xf numFmtId="165" fontId="32" fillId="0" borderId="0" applyFill="0" applyProtection="0">
      <alignment horizontal="right" vertical="center"/>
    </xf>
    <xf numFmtId="0" fontId="18" fillId="0" borderId="0"/>
    <xf numFmtId="0" fontId="19" fillId="0" borderId="0"/>
    <xf numFmtId="0" fontId="1" fillId="0" borderId="0"/>
    <xf numFmtId="0" fontId="33" fillId="0" borderId="0">
      <alignment horizontal="right" vertical="center"/>
    </xf>
    <xf numFmtId="0" fontId="18" fillId="0" borderId="0"/>
    <xf numFmtId="0" fontId="1" fillId="0" borderId="0"/>
    <xf numFmtId="0" fontId="19" fillId="0" borderId="0"/>
    <xf numFmtId="0" fontId="34" fillId="0" borderId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35" fillId="0" borderId="0" applyFill="0" applyProtection="0">
      <alignment horizontal="right" vertical="center"/>
    </xf>
    <xf numFmtId="0" fontId="21" fillId="0" borderId="0" applyNumberFormat="0" applyFill="0" applyBorder="0" applyAlignment="0" applyProtection="0"/>
    <xf numFmtId="0" fontId="36" fillId="0" borderId="0" applyFill="0" applyBorder="0" applyProtection="0">
      <alignment horizontal="right" vertical="center"/>
    </xf>
    <xf numFmtId="0" fontId="37" fillId="0" borderId="0" applyFill="0" applyBorder="0" applyProtection="0">
      <alignment horizontal="right" vertical="center"/>
    </xf>
    <xf numFmtId="0" fontId="1" fillId="33" borderId="10"/>
    <xf numFmtId="0" fontId="38" fillId="0" borderId="0" applyFill="0" applyBorder="0" applyProtection="0">
      <alignment horizontal="right" vertical="center"/>
    </xf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6" fontId="0" fillId="0" borderId="0" xfId="0" applyNumberFormat="1"/>
    <xf numFmtId="164" fontId="0" fillId="34" borderId="0" xfId="0" applyNumberFormat="1" applyFill="1"/>
    <xf numFmtId="164" fontId="0" fillId="34" borderId="0" xfId="1" applyNumberFormat="1" applyFont="1" applyFill="1"/>
    <xf numFmtId="0" fontId="0" fillId="34" borderId="0" xfId="0" applyFill="1"/>
    <xf numFmtId="43" fontId="0" fillId="0" borderId="0" xfId="0" applyNumberFormat="1"/>
    <xf numFmtId="164" fontId="0" fillId="0" borderId="0" xfId="0" applyNumberFormat="1"/>
    <xf numFmtId="8" fontId="0" fillId="0" borderId="0" xfId="0" applyNumberFormat="1"/>
  </cellXfs>
  <cellStyles count="521">
    <cellStyle name="20% - Accent1" xfId="20" builtinId="30" customBuiltin="1"/>
    <cellStyle name="20% - Accent1 2" xfId="45" xr:uid="{FF98B2F4-70CC-4905-A890-3F9414A4A86D}"/>
    <cellStyle name="20% - Accent1 2 2" xfId="46" xr:uid="{DF626FDF-FBCD-4DAD-9B60-EEAC892F15AF}"/>
    <cellStyle name="20% - Accent1 2 2 2" xfId="180" xr:uid="{123AD052-2093-4360-8079-6E7D30A2CADD}"/>
    <cellStyle name="20% - Accent1 2 2 2 2" xfId="202" xr:uid="{D6951804-A2E1-4998-B279-3706DA48D323}"/>
    <cellStyle name="20% - Accent1 2 2 2 2 2" xfId="246" xr:uid="{D9A25408-49D5-42CF-92E5-83AD9B045563}"/>
    <cellStyle name="20% - Accent1 2 2 2 2 2 2" xfId="334" xr:uid="{3810FD49-46DC-4FF6-8380-DDF81E4C0D11}"/>
    <cellStyle name="20% - Accent1 2 2 2 2 2 2 2" xfId="510" xr:uid="{AFFFA23E-775E-4544-A9DD-29C43A33AB50}"/>
    <cellStyle name="20% - Accent1 2 2 2 2 2 3" xfId="422" xr:uid="{2754C724-BA1F-4E10-A24C-B4ECC819E2D4}"/>
    <cellStyle name="20% - Accent1 2 2 2 2 3" xfId="290" xr:uid="{6F86E353-4609-44BE-A118-417CFD0D43EA}"/>
    <cellStyle name="20% - Accent1 2 2 2 2 3 2" xfId="466" xr:uid="{A5246371-02C5-4557-A50A-9EC41F0A0D3B}"/>
    <cellStyle name="20% - Accent1 2 2 2 2 4" xfId="378" xr:uid="{F62FF826-6F70-4486-A417-1B2BBCEFA1FA}"/>
    <cellStyle name="20% - Accent1 2 2 2 3" xfId="224" xr:uid="{E9BEBFDE-604E-46A8-8956-C42DD81E9D0C}"/>
    <cellStyle name="20% - Accent1 2 2 2 3 2" xfId="312" xr:uid="{469693A5-ABFB-4021-AF81-A3603FDDA0DA}"/>
    <cellStyle name="20% - Accent1 2 2 2 3 2 2" xfId="488" xr:uid="{BD4A084D-EE26-4421-9ECE-CCB70C38E2F6}"/>
    <cellStyle name="20% - Accent1 2 2 2 3 3" xfId="400" xr:uid="{3D780351-526B-4C58-9292-EB48527C3698}"/>
    <cellStyle name="20% - Accent1 2 2 2 4" xfId="268" xr:uid="{0B79795D-82B0-4973-B827-C56F3A618273}"/>
    <cellStyle name="20% - Accent1 2 2 2 4 2" xfId="444" xr:uid="{0DFAE907-DE06-4C44-AA90-5DD44CDE0652}"/>
    <cellStyle name="20% - Accent1 2 2 2 5" xfId="356" xr:uid="{FCADDAAC-8308-4127-875F-F9AD783F0EF2}"/>
    <cellStyle name="20% - Accent1 2 2 3" xfId="191" xr:uid="{632D3B4F-2915-48F5-A444-58135185F390}"/>
    <cellStyle name="20% - Accent1 2 2 3 2" xfId="235" xr:uid="{DA5CC2AD-DF00-4847-9167-AD8D2B525652}"/>
    <cellStyle name="20% - Accent1 2 2 3 2 2" xfId="323" xr:uid="{43B6AE0B-064F-41B2-A624-625E046CB128}"/>
    <cellStyle name="20% - Accent1 2 2 3 2 2 2" xfId="499" xr:uid="{195C3F7C-88A8-46A3-8D2F-7F0313AD6723}"/>
    <cellStyle name="20% - Accent1 2 2 3 2 3" xfId="411" xr:uid="{D9232736-8EEB-4F8F-9B03-104F942CDF63}"/>
    <cellStyle name="20% - Accent1 2 2 3 3" xfId="279" xr:uid="{69402F82-8BAF-4BF6-8301-1DDF84BD377F}"/>
    <cellStyle name="20% - Accent1 2 2 3 3 2" xfId="455" xr:uid="{EB7E6920-D4B3-49D7-837B-E96BC034A115}"/>
    <cellStyle name="20% - Accent1 2 2 3 4" xfId="367" xr:uid="{860EDE65-0A01-4EAD-8AC9-621FAA91905D}"/>
    <cellStyle name="20% - Accent1 2 2 4" xfId="213" xr:uid="{47DC0C9C-5562-4A17-AF89-AB6EAA252490}"/>
    <cellStyle name="20% - Accent1 2 2 4 2" xfId="301" xr:uid="{66727CF9-9182-43C7-B737-A91C50E74F91}"/>
    <cellStyle name="20% - Accent1 2 2 4 2 2" xfId="477" xr:uid="{40050296-915D-4ADC-B0C2-91372DD56A47}"/>
    <cellStyle name="20% - Accent1 2 2 4 3" xfId="389" xr:uid="{A117229C-E67F-4658-A895-5939E8ADE4BA}"/>
    <cellStyle name="20% - Accent1 2 2 5" xfId="257" xr:uid="{06ADDB5E-C20B-4615-A1DC-C65578F30636}"/>
    <cellStyle name="20% - Accent1 2 2 5 2" xfId="433" xr:uid="{9575C53D-FF74-4BAC-AE92-718D748616E2}"/>
    <cellStyle name="20% - Accent1 2 2 6" xfId="345" xr:uid="{9B2254C1-9567-4155-9C06-7CC7F4FF210D}"/>
    <cellStyle name="20% - Accent2" xfId="24" builtinId="34" customBuiltin="1"/>
    <cellStyle name="20% - Accent2 2" xfId="47" xr:uid="{C2C5E661-6AFF-4CAC-ACC2-DBB6607B466A}"/>
    <cellStyle name="20% - Accent2 2 2" xfId="48" xr:uid="{24D26C02-51FB-48A8-A302-D2E2A3229D0D}"/>
    <cellStyle name="20% - Accent2 2 2 2" xfId="181" xr:uid="{D251B5E6-7359-4973-B6D7-BD11105FE816}"/>
    <cellStyle name="20% - Accent2 2 2 2 2" xfId="203" xr:uid="{2FBF0E72-3093-48D1-9416-ED75AE3D24CE}"/>
    <cellStyle name="20% - Accent2 2 2 2 2 2" xfId="247" xr:uid="{7168395B-3EFE-4696-A6F6-04CB3D9D0608}"/>
    <cellStyle name="20% - Accent2 2 2 2 2 2 2" xfId="335" xr:uid="{C6C8F1A6-1B5A-4C53-877E-CF24921C39C2}"/>
    <cellStyle name="20% - Accent2 2 2 2 2 2 2 2" xfId="511" xr:uid="{DEFE4B37-84DE-4667-A624-F4E1B56FE09E}"/>
    <cellStyle name="20% - Accent2 2 2 2 2 2 3" xfId="423" xr:uid="{84323522-4394-4298-9A82-90EACE06D169}"/>
    <cellStyle name="20% - Accent2 2 2 2 2 3" xfId="291" xr:uid="{E82BBA60-B061-4EDF-890F-3090BDD319DB}"/>
    <cellStyle name="20% - Accent2 2 2 2 2 3 2" xfId="467" xr:uid="{FC605AC8-EC7D-443E-9C5B-046D36FEFCB2}"/>
    <cellStyle name="20% - Accent2 2 2 2 2 4" xfId="379" xr:uid="{9E5116E6-457B-4107-990A-1AD0E6A9D144}"/>
    <cellStyle name="20% - Accent2 2 2 2 3" xfId="225" xr:uid="{E8B46010-9D7C-4FC7-878B-D2B992A48A5D}"/>
    <cellStyle name="20% - Accent2 2 2 2 3 2" xfId="313" xr:uid="{FCE138A9-28FD-4CEC-8E9F-5CDF8BAA1CF7}"/>
    <cellStyle name="20% - Accent2 2 2 2 3 2 2" xfId="489" xr:uid="{5282EE42-9C78-433E-B425-23185B0C5070}"/>
    <cellStyle name="20% - Accent2 2 2 2 3 3" xfId="401" xr:uid="{1F9E4FE8-155C-4E85-9F96-CD450BCE1384}"/>
    <cellStyle name="20% - Accent2 2 2 2 4" xfId="269" xr:uid="{B7824C21-B523-4B24-A44B-4B4D99AAD441}"/>
    <cellStyle name="20% - Accent2 2 2 2 4 2" xfId="445" xr:uid="{FC16F96D-F35D-4DC4-B610-F779A96C2432}"/>
    <cellStyle name="20% - Accent2 2 2 2 5" xfId="357" xr:uid="{134893E2-0B84-4123-8B5E-545BBE0BF3FC}"/>
    <cellStyle name="20% - Accent2 2 2 3" xfId="192" xr:uid="{69800977-C103-4F8F-97F7-937A0A2EA2E1}"/>
    <cellStyle name="20% - Accent2 2 2 3 2" xfId="236" xr:uid="{DC8EC608-0F35-451E-AC01-3BD23924D790}"/>
    <cellStyle name="20% - Accent2 2 2 3 2 2" xfId="324" xr:uid="{96A937BD-BD0F-4114-B714-21F46F3B5C14}"/>
    <cellStyle name="20% - Accent2 2 2 3 2 2 2" xfId="500" xr:uid="{143C7729-8CD8-4FA0-BB26-21393AA0FB48}"/>
    <cellStyle name="20% - Accent2 2 2 3 2 3" xfId="412" xr:uid="{56F95F0F-BFEA-4B98-BB5A-B1855E7C00EB}"/>
    <cellStyle name="20% - Accent2 2 2 3 3" xfId="280" xr:uid="{81D65349-4379-4263-9967-C89A3F3657F9}"/>
    <cellStyle name="20% - Accent2 2 2 3 3 2" xfId="456" xr:uid="{5007C6A3-2EC9-4C7F-AECE-A91815328E4F}"/>
    <cellStyle name="20% - Accent2 2 2 3 4" xfId="368" xr:uid="{55A11137-EE26-4B15-B141-C6144B5618C2}"/>
    <cellStyle name="20% - Accent2 2 2 4" xfId="214" xr:uid="{9154290F-2B4A-454C-A549-AE006BF1D383}"/>
    <cellStyle name="20% - Accent2 2 2 4 2" xfId="302" xr:uid="{A1180CFA-B9B2-4CCF-913E-C5D44EB76B40}"/>
    <cellStyle name="20% - Accent2 2 2 4 2 2" xfId="478" xr:uid="{8B399223-FC58-4388-8CF3-217ADD32032A}"/>
    <cellStyle name="20% - Accent2 2 2 4 3" xfId="390" xr:uid="{E46F1D0A-F311-46F0-B1A5-E1B309A17594}"/>
    <cellStyle name="20% - Accent2 2 2 5" xfId="258" xr:uid="{83CCCDA4-6D56-4FF9-873A-7A90C2D66F07}"/>
    <cellStyle name="20% - Accent2 2 2 5 2" xfId="434" xr:uid="{38BDF43F-63EF-4A69-80A8-E84BD68496E1}"/>
    <cellStyle name="20% - Accent2 2 2 6" xfId="346" xr:uid="{2D5699EF-81C1-45EF-8B8A-7A5E863CF37F}"/>
    <cellStyle name="20% - Accent3" xfId="28" builtinId="38" customBuiltin="1"/>
    <cellStyle name="20% - Accent3 2" xfId="49" xr:uid="{0A021411-289D-4B94-B46F-2B570DA54DBB}"/>
    <cellStyle name="20% - Accent3 2 2" xfId="50" xr:uid="{9D045A76-22D0-4DD7-8BB8-9144BD294168}"/>
    <cellStyle name="20% - Accent3 2 2 2" xfId="182" xr:uid="{DE9E6745-4AB2-47BD-8A84-F5842157F65F}"/>
    <cellStyle name="20% - Accent3 2 2 2 2" xfId="204" xr:uid="{4BE9B349-F413-436A-87DB-6607F6AED75E}"/>
    <cellStyle name="20% - Accent3 2 2 2 2 2" xfId="248" xr:uid="{754D68F4-E178-4973-BD84-C1E22F6162CA}"/>
    <cellStyle name="20% - Accent3 2 2 2 2 2 2" xfId="336" xr:uid="{77B56B71-32A8-4B8A-86D1-5B73CD9EBA5F}"/>
    <cellStyle name="20% - Accent3 2 2 2 2 2 2 2" xfId="512" xr:uid="{9AC187C5-A279-4736-953D-4445D325F1C7}"/>
    <cellStyle name="20% - Accent3 2 2 2 2 2 3" xfId="424" xr:uid="{3958E8F0-4852-4FA7-BE29-5972DFBBF87C}"/>
    <cellStyle name="20% - Accent3 2 2 2 2 3" xfId="292" xr:uid="{775211F2-B5A7-4DFB-9247-0925869FCB79}"/>
    <cellStyle name="20% - Accent3 2 2 2 2 3 2" xfId="468" xr:uid="{B5BDA834-2E33-43BD-9314-32BDCBE89EFC}"/>
    <cellStyle name="20% - Accent3 2 2 2 2 4" xfId="380" xr:uid="{C8C9F354-9372-49B8-8CAD-470B07945F00}"/>
    <cellStyle name="20% - Accent3 2 2 2 3" xfId="226" xr:uid="{EC690130-588F-4FD6-A287-D78F65944F2F}"/>
    <cellStyle name="20% - Accent3 2 2 2 3 2" xfId="314" xr:uid="{9566D82C-A149-4CB2-ADBD-D69817974C69}"/>
    <cellStyle name="20% - Accent3 2 2 2 3 2 2" xfId="490" xr:uid="{48DADFDC-FEFC-4767-893C-AA83AC94A654}"/>
    <cellStyle name="20% - Accent3 2 2 2 3 3" xfId="402" xr:uid="{275460E2-BC07-4994-80EE-5110B93C1577}"/>
    <cellStyle name="20% - Accent3 2 2 2 4" xfId="270" xr:uid="{28898EAF-727E-4781-83F3-43F136D28D0D}"/>
    <cellStyle name="20% - Accent3 2 2 2 4 2" xfId="446" xr:uid="{588C21A7-3B90-4AEB-B205-3AB942BC763B}"/>
    <cellStyle name="20% - Accent3 2 2 2 5" xfId="358" xr:uid="{AF69D121-FAC4-43B2-AF53-143D6DD3720C}"/>
    <cellStyle name="20% - Accent3 2 2 3" xfId="193" xr:uid="{24AB8F74-5B6F-4371-BBDA-6568F4AD82A6}"/>
    <cellStyle name="20% - Accent3 2 2 3 2" xfId="237" xr:uid="{E5F1649B-881B-4636-8681-BB7C4F2CF129}"/>
    <cellStyle name="20% - Accent3 2 2 3 2 2" xfId="325" xr:uid="{71C04ADF-0169-4065-9874-ACC677D69840}"/>
    <cellStyle name="20% - Accent3 2 2 3 2 2 2" xfId="501" xr:uid="{352CCAB5-9F51-4412-82C9-72F5F0E69357}"/>
    <cellStyle name="20% - Accent3 2 2 3 2 3" xfId="413" xr:uid="{C41AB5A4-4093-4285-B242-0DE3507C6404}"/>
    <cellStyle name="20% - Accent3 2 2 3 3" xfId="281" xr:uid="{C7488F39-BBC8-4AD1-AB25-63EFC363267A}"/>
    <cellStyle name="20% - Accent3 2 2 3 3 2" xfId="457" xr:uid="{9A1AD353-4EED-40FC-8C43-6F1A59929D31}"/>
    <cellStyle name="20% - Accent3 2 2 3 4" xfId="369" xr:uid="{AC7C6A70-ACBB-4D7E-A30C-6888D82AB017}"/>
    <cellStyle name="20% - Accent3 2 2 4" xfId="215" xr:uid="{A70DF702-92F4-4883-BD8B-D56C4D774EFE}"/>
    <cellStyle name="20% - Accent3 2 2 4 2" xfId="303" xr:uid="{FBAD9B8E-82AB-4F74-8063-29241D47407D}"/>
    <cellStyle name="20% - Accent3 2 2 4 2 2" xfId="479" xr:uid="{4F8D082D-D8C0-413B-B075-5026ACED7B6D}"/>
    <cellStyle name="20% - Accent3 2 2 4 3" xfId="391" xr:uid="{CDB64FDD-7E19-44D2-880D-51F471F4FF5F}"/>
    <cellStyle name="20% - Accent3 2 2 5" xfId="259" xr:uid="{D63C0C7C-7D91-463B-853C-CCADDE152A0A}"/>
    <cellStyle name="20% - Accent3 2 2 5 2" xfId="435" xr:uid="{130C2D76-8C77-42C8-89A0-3740BBC5B5CE}"/>
    <cellStyle name="20% - Accent3 2 2 6" xfId="347" xr:uid="{CC2D9191-02A1-413A-AC27-D7F371DD450A}"/>
    <cellStyle name="20% - Accent4" xfId="32" builtinId="42" customBuiltin="1"/>
    <cellStyle name="20% - Accent4 2" xfId="51" xr:uid="{88CD9CAC-4AD2-4A96-820D-047382203365}"/>
    <cellStyle name="20% - Accent4 2 2" xfId="52" xr:uid="{8BE8D0BC-EBA7-427A-8CDF-AC61C38B535F}"/>
    <cellStyle name="20% - Accent4 2 2 2" xfId="183" xr:uid="{621F0738-BD42-4025-93AA-62DB83C21F01}"/>
    <cellStyle name="20% - Accent4 2 2 2 2" xfId="205" xr:uid="{5FCC72A8-51A0-4AC1-8EEC-77797503835F}"/>
    <cellStyle name="20% - Accent4 2 2 2 2 2" xfId="249" xr:uid="{121CFF13-2114-4044-A6E6-64E84C32C977}"/>
    <cellStyle name="20% - Accent4 2 2 2 2 2 2" xfId="337" xr:uid="{FC9F748C-A1E3-4B7D-9CFA-704AEF3E8D7A}"/>
    <cellStyle name="20% - Accent4 2 2 2 2 2 2 2" xfId="513" xr:uid="{4E597D56-8B4B-4FDE-8175-C1A1D7E52506}"/>
    <cellStyle name="20% - Accent4 2 2 2 2 2 3" xfId="425" xr:uid="{E1F34DD2-D79E-4850-AB6C-08EC388427D9}"/>
    <cellStyle name="20% - Accent4 2 2 2 2 3" xfId="293" xr:uid="{8DFB274F-665C-450D-8EFB-805BC08400BB}"/>
    <cellStyle name="20% - Accent4 2 2 2 2 3 2" xfId="469" xr:uid="{149500FE-3078-4D2C-B72F-5BC6EE3A4E90}"/>
    <cellStyle name="20% - Accent4 2 2 2 2 4" xfId="381" xr:uid="{BAC73439-2271-473F-8B9E-23D659EE176A}"/>
    <cellStyle name="20% - Accent4 2 2 2 3" xfId="227" xr:uid="{05BADFBD-43FA-4042-856A-11A53DFC1E34}"/>
    <cellStyle name="20% - Accent4 2 2 2 3 2" xfId="315" xr:uid="{6B4DF6F0-1021-4D9D-8374-3D915787934F}"/>
    <cellStyle name="20% - Accent4 2 2 2 3 2 2" xfId="491" xr:uid="{D55140AD-7689-4188-9CF1-3B8EEB1703FC}"/>
    <cellStyle name="20% - Accent4 2 2 2 3 3" xfId="403" xr:uid="{CCA7B2DD-A3E6-4B6D-89F1-FB443D5A150C}"/>
    <cellStyle name="20% - Accent4 2 2 2 4" xfId="271" xr:uid="{3A0AD573-3F91-415D-BCF5-2B8A125307D9}"/>
    <cellStyle name="20% - Accent4 2 2 2 4 2" xfId="447" xr:uid="{CEF8D343-5C5E-461A-B5D8-13FC4616DCA0}"/>
    <cellStyle name="20% - Accent4 2 2 2 5" xfId="359" xr:uid="{30D78C49-B656-4AD9-8989-9F78143BEB25}"/>
    <cellStyle name="20% - Accent4 2 2 3" xfId="194" xr:uid="{FFA796C1-A972-4507-BAF8-83E7011F32D0}"/>
    <cellStyle name="20% - Accent4 2 2 3 2" xfId="238" xr:uid="{8671F266-8A2F-4043-941B-7AFC40ED5039}"/>
    <cellStyle name="20% - Accent4 2 2 3 2 2" xfId="326" xr:uid="{5163FA09-3E6F-478D-8A6C-C621E06DD3CD}"/>
    <cellStyle name="20% - Accent4 2 2 3 2 2 2" xfId="502" xr:uid="{CC476622-CF3D-4E83-94D5-9CC010B78AD3}"/>
    <cellStyle name="20% - Accent4 2 2 3 2 3" xfId="414" xr:uid="{55E5B6B4-3A03-4589-80E3-5D3570EDCA32}"/>
    <cellStyle name="20% - Accent4 2 2 3 3" xfId="282" xr:uid="{652922EB-4443-4ADD-A110-747F56C5D179}"/>
    <cellStyle name="20% - Accent4 2 2 3 3 2" xfId="458" xr:uid="{576A8443-6F04-46F5-8E13-D73F7D9DA9B4}"/>
    <cellStyle name="20% - Accent4 2 2 3 4" xfId="370" xr:uid="{E759846E-E481-412C-A381-51AE391F510D}"/>
    <cellStyle name="20% - Accent4 2 2 4" xfId="216" xr:uid="{171042A0-EC73-4EB9-86F2-5951EF8F0BCD}"/>
    <cellStyle name="20% - Accent4 2 2 4 2" xfId="304" xr:uid="{9D9E1115-2F9B-4A79-915C-58FF1F5C6FFC}"/>
    <cellStyle name="20% - Accent4 2 2 4 2 2" xfId="480" xr:uid="{638BC5FA-A3FA-49FA-B755-D6835E46A014}"/>
    <cellStyle name="20% - Accent4 2 2 4 3" xfId="392" xr:uid="{39BEE517-FB81-4AE2-8A10-444A03C3608D}"/>
    <cellStyle name="20% - Accent4 2 2 5" xfId="260" xr:uid="{E29DC684-3DB5-4D40-B27F-709C4D002201}"/>
    <cellStyle name="20% - Accent4 2 2 5 2" xfId="436" xr:uid="{67FE0A64-A4F5-4850-A610-8CD2502226CF}"/>
    <cellStyle name="20% - Accent4 2 2 6" xfId="348" xr:uid="{66F1EE95-128C-47A7-B570-C3CD19D2F7FF}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ed" xfId="53" xr:uid="{A0F88C76-913D-46B6-A8F8-D7FA33699798}"/>
    <cellStyle name="Calculation" xfId="12" builtinId="22" customBuiltin="1"/>
    <cellStyle name="Check Cell" xfId="14" builtinId="23" customBuiltin="1"/>
    <cellStyle name="Comma" xfId="1" builtinId="3"/>
    <cellStyle name="Comma 10" xfId="54" xr:uid="{99F9A692-2F6D-423C-B71E-FB6314CFEA98}"/>
    <cellStyle name="Comma 10 2" xfId="184" xr:uid="{F16597BB-70E6-4DD4-B936-0FA471444AE5}"/>
    <cellStyle name="Comma 10 2 2" xfId="206" xr:uid="{2A7B745F-21BA-4572-904C-E87F2DE42C28}"/>
    <cellStyle name="Comma 10 2 2 2" xfId="250" xr:uid="{6B95942E-DCE1-4FB7-AE6F-78AE4ED4EF21}"/>
    <cellStyle name="Comma 10 2 2 2 2" xfId="338" xr:uid="{94ACD909-63A8-426C-9FEE-15AC78545C92}"/>
    <cellStyle name="Comma 10 2 2 2 2 2" xfId="514" xr:uid="{859CFE93-307D-4E60-965C-0F9EE86E6DB1}"/>
    <cellStyle name="Comma 10 2 2 2 3" xfId="426" xr:uid="{64D08E5F-C95F-4EF9-8EE7-7B27099E2336}"/>
    <cellStyle name="Comma 10 2 2 3" xfId="294" xr:uid="{0852C926-FD4A-48FB-B914-E6987604906F}"/>
    <cellStyle name="Comma 10 2 2 3 2" xfId="470" xr:uid="{12547F00-7098-48AE-9CBB-74B675CF8743}"/>
    <cellStyle name="Comma 10 2 2 4" xfId="382" xr:uid="{1B1CEFFF-8FB9-435A-A5C5-0E3DD66BE4CD}"/>
    <cellStyle name="Comma 10 2 3" xfId="228" xr:uid="{CD8C6BCE-23F7-4A46-BB8F-F6B0DD5BFB47}"/>
    <cellStyle name="Comma 10 2 3 2" xfId="316" xr:uid="{9F958F10-4E95-4A65-990A-67A38F605163}"/>
    <cellStyle name="Comma 10 2 3 2 2" xfId="492" xr:uid="{2E0FDD20-34F4-44F5-BEDE-8664ED320D42}"/>
    <cellStyle name="Comma 10 2 3 3" xfId="404" xr:uid="{20CC2FAD-8038-46BE-ADDA-3B02EED001C8}"/>
    <cellStyle name="Comma 10 2 4" xfId="272" xr:uid="{EA2B900F-4B95-44C8-8D90-E53872C0926D}"/>
    <cellStyle name="Comma 10 2 4 2" xfId="448" xr:uid="{0E234CCA-CDF7-48FC-923A-03BDA070F497}"/>
    <cellStyle name="Comma 10 2 5" xfId="360" xr:uid="{CD96F8D4-F0C2-4363-885F-DD362B079D9A}"/>
    <cellStyle name="Comma 10 3" xfId="195" xr:uid="{11D9B267-D0D0-4884-A243-714B29C493AC}"/>
    <cellStyle name="Comma 10 3 2" xfId="239" xr:uid="{1D7C8ACA-59D8-45E8-927C-798EF20B944C}"/>
    <cellStyle name="Comma 10 3 2 2" xfId="327" xr:uid="{02902EA1-643B-42DC-B690-08044A536E48}"/>
    <cellStyle name="Comma 10 3 2 2 2" xfId="503" xr:uid="{02282E58-4149-41C1-AD2B-F0C4199152E4}"/>
    <cellStyle name="Comma 10 3 2 3" xfId="415" xr:uid="{AA682095-9F5B-488A-9E48-58382F5DEEE6}"/>
    <cellStyle name="Comma 10 3 3" xfId="283" xr:uid="{209BDCB6-1E07-4BF0-B59E-55624C606195}"/>
    <cellStyle name="Comma 10 3 3 2" xfId="459" xr:uid="{F419CB02-65AC-4346-B09E-ED28D0C793F9}"/>
    <cellStyle name="Comma 10 3 4" xfId="371" xr:uid="{8160A5C4-30B8-4919-8D7F-E134D9FF02B3}"/>
    <cellStyle name="Comma 10 4" xfId="217" xr:uid="{56AE5D85-5D03-4D49-AA10-E43C95F2FDB6}"/>
    <cellStyle name="Comma 10 4 2" xfId="305" xr:uid="{53125FB2-5B99-494A-9313-2865569357F2}"/>
    <cellStyle name="Comma 10 4 2 2" xfId="481" xr:uid="{13BAB9A1-C6FB-4435-B550-000A63CD1712}"/>
    <cellStyle name="Comma 10 4 3" xfId="393" xr:uid="{FCA9DC3D-0A44-43E1-8BC0-AF8B93607B8C}"/>
    <cellStyle name="Comma 10 5" xfId="261" xr:uid="{AF5C1145-E912-48FF-9D89-C7A280F65CCF}"/>
    <cellStyle name="Comma 10 5 2" xfId="437" xr:uid="{8B165853-2B99-4B5C-B671-9A853FC20F02}"/>
    <cellStyle name="Comma 10 6" xfId="349" xr:uid="{2D1B7060-C80C-415C-926F-F8000D65B5E7}"/>
    <cellStyle name="Comma 11" xfId="55" xr:uid="{B1453D1C-C514-4C94-893E-8B3E94A34ADD}"/>
    <cellStyle name="Comma 2" xfId="56" xr:uid="{043883E0-A8AA-4217-80CC-F53A8F0B1B53}"/>
    <cellStyle name="Comma 2 2" xfId="57" xr:uid="{BC62CCB4-CFEC-46B4-9B89-5E31640965F8}"/>
    <cellStyle name="Comma 2 2 2" xfId="185" xr:uid="{20CB4484-9982-4918-BA8F-1316EF58EBE4}"/>
    <cellStyle name="Comma 2 2 2 2" xfId="207" xr:uid="{2C6C3E2C-130E-43FC-A497-831AC5EB8145}"/>
    <cellStyle name="Comma 2 2 2 2 2" xfId="251" xr:uid="{5DB3F438-1C7B-4AC6-983F-05D899BBB623}"/>
    <cellStyle name="Comma 2 2 2 2 2 2" xfId="339" xr:uid="{11D3BF65-4018-47D6-8A24-A31B88EC36B2}"/>
    <cellStyle name="Comma 2 2 2 2 2 2 2" xfId="515" xr:uid="{84A9732D-3F89-44D2-B603-AD2346D221D1}"/>
    <cellStyle name="Comma 2 2 2 2 2 3" xfId="427" xr:uid="{AC6FEFD9-3B8F-4F8D-A58E-BC2D8A2E36A3}"/>
    <cellStyle name="Comma 2 2 2 2 3" xfId="295" xr:uid="{5A0473EF-3853-4B50-9962-02B9F7370AD6}"/>
    <cellStyle name="Comma 2 2 2 2 3 2" xfId="471" xr:uid="{2CADE126-AFAA-4C99-992A-D5D1C34988E6}"/>
    <cellStyle name="Comma 2 2 2 2 4" xfId="383" xr:uid="{3E4AC91B-67F5-4B3F-B131-87CC4CD0E2D7}"/>
    <cellStyle name="Comma 2 2 2 3" xfId="229" xr:uid="{0F8E1111-CA68-4E37-89D7-324DE6CF1EAD}"/>
    <cellStyle name="Comma 2 2 2 3 2" xfId="317" xr:uid="{CC28142B-20C7-4D32-9E67-D957D9608EA1}"/>
    <cellStyle name="Comma 2 2 2 3 2 2" xfId="493" xr:uid="{B1D693E0-69FE-4614-93F0-E43ED6877668}"/>
    <cellStyle name="Comma 2 2 2 3 3" xfId="405" xr:uid="{D8605B5B-A7D4-400A-BE62-0A1536603A26}"/>
    <cellStyle name="Comma 2 2 2 4" xfId="273" xr:uid="{4B55E46B-ED09-4BC3-BCC0-235BA1118249}"/>
    <cellStyle name="Comma 2 2 2 4 2" xfId="449" xr:uid="{A1B05ED5-5181-4C54-90CE-2DD8BA56AD53}"/>
    <cellStyle name="Comma 2 2 2 5" xfId="361" xr:uid="{8CBF1DD9-578F-445E-AA0A-37D51412FE9B}"/>
    <cellStyle name="Comma 2 2 3" xfId="196" xr:uid="{20A0E80D-B433-47E9-A12D-7A8063EE9755}"/>
    <cellStyle name="Comma 2 2 3 2" xfId="240" xr:uid="{A0750DBF-2685-4614-9122-EFAE2916D33C}"/>
    <cellStyle name="Comma 2 2 3 2 2" xfId="328" xr:uid="{9F2EBD3B-E07D-4286-AA24-6B56FC389240}"/>
    <cellStyle name="Comma 2 2 3 2 2 2" xfId="504" xr:uid="{72764751-BC14-442D-B296-4325DD712E2E}"/>
    <cellStyle name="Comma 2 2 3 2 3" xfId="416" xr:uid="{CB9518D5-E17F-46DB-831B-DA1E0C778B54}"/>
    <cellStyle name="Comma 2 2 3 3" xfId="284" xr:uid="{82956A39-8ED6-492C-B4AF-DE289565D248}"/>
    <cellStyle name="Comma 2 2 3 3 2" xfId="460" xr:uid="{31A7E8E1-AC42-4B8C-8E95-57D71E5E329B}"/>
    <cellStyle name="Comma 2 2 3 4" xfId="372" xr:uid="{C0E0AF77-4C96-40D7-99BB-BE3DE06F2415}"/>
    <cellStyle name="Comma 2 2 4" xfId="218" xr:uid="{5052D043-7E94-42ED-8C6C-8D2727A4B04F}"/>
    <cellStyle name="Comma 2 2 4 2" xfId="306" xr:uid="{BCCF90A6-66C7-449D-AFB6-EC9830FF45B3}"/>
    <cellStyle name="Comma 2 2 4 2 2" xfId="482" xr:uid="{9EA847A3-B6C2-4D60-83EC-CFB92CFF5BBC}"/>
    <cellStyle name="Comma 2 2 4 3" xfId="394" xr:uid="{2419F972-E5EC-4195-9490-5891C237DD8D}"/>
    <cellStyle name="Comma 2 2 5" xfId="262" xr:uid="{154707AD-CC98-4D71-BCC6-ABC404A31450}"/>
    <cellStyle name="Comma 2 2 5 2" xfId="438" xr:uid="{C7A75753-8F62-415E-AF88-6E9E13E64B60}"/>
    <cellStyle name="Comma 2 2 6" xfId="350" xr:uid="{8DFAB272-D6C2-4B98-8B95-FAC63B704C21}"/>
    <cellStyle name="Comma 3" xfId="58" xr:uid="{5B1D5BE1-F41B-4542-8E8F-3C5B07C02C11}"/>
    <cellStyle name="Comma 3 2" xfId="59" xr:uid="{9D7C896F-B6E8-4B63-A99E-B24A874EC9C0}"/>
    <cellStyle name="Comma 3 2 2" xfId="186" xr:uid="{CC1DBF48-D960-4409-AB31-492FE43CE4E9}"/>
    <cellStyle name="Comma 3 2 2 2" xfId="208" xr:uid="{F2CB9CE4-63BB-4E57-BBD7-442978B473C7}"/>
    <cellStyle name="Comma 3 2 2 2 2" xfId="252" xr:uid="{768AB198-4819-428A-9F34-FB0A9DCF4A3B}"/>
    <cellStyle name="Comma 3 2 2 2 2 2" xfId="340" xr:uid="{29A87951-E2B6-4ECF-B361-0B0E7E1833AD}"/>
    <cellStyle name="Comma 3 2 2 2 2 2 2" xfId="516" xr:uid="{1B58A9CC-7C62-464E-B881-ADC658014E2C}"/>
    <cellStyle name="Comma 3 2 2 2 2 3" xfId="428" xr:uid="{2CCEFB5B-6911-42A7-8D51-20BCF59CCEB4}"/>
    <cellStyle name="Comma 3 2 2 2 3" xfId="296" xr:uid="{4868C2AC-FFB6-4D17-9B0F-8E892CCC90F6}"/>
    <cellStyle name="Comma 3 2 2 2 3 2" xfId="472" xr:uid="{B173C7F0-55CE-47A9-82D6-5E4193B61706}"/>
    <cellStyle name="Comma 3 2 2 2 4" xfId="384" xr:uid="{D8DE7C98-77C5-4A0D-AB8A-2286BCDAADB2}"/>
    <cellStyle name="Comma 3 2 2 3" xfId="230" xr:uid="{2E2E8D1B-307A-4AC6-AB3D-30482CFB0744}"/>
    <cellStyle name="Comma 3 2 2 3 2" xfId="318" xr:uid="{36CD49CC-219B-4A01-B6FB-3623B975243B}"/>
    <cellStyle name="Comma 3 2 2 3 2 2" xfId="494" xr:uid="{A1CAAB4D-ECE5-427B-9684-D663C7DE9EE0}"/>
    <cellStyle name="Comma 3 2 2 3 3" xfId="406" xr:uid="{4920FAFD-250A-4E91-B469-E045670B72DF}"/>
    <cellStyle name="Comma 3 2 2 4" xfId="274" xr:uid="{DAB59049-BA03-46A1-BCA8-7CE5C743A744}"/>
    <cellStyle name="Comma 3 2 2 4 2" xfId="450" xr:uid="{6AC9AD3C-BB56-47D4-AFC5-959DEA5A0632}"/>
    <cellStyle name="Comma 3 2 2 5" xfId="362" xr:uid="{2A6E4366-8CC3-4070-ABA0-D8DE3D15BACF}"/>
    <cellStyle name="Comma 3 2 3" xfId="197" xr:uid="{46A570D7-6E62-40BF-8F1A-E141AA32A8F4}"/>
    <cellStyle name="Comma 3 2 3 2" xfId="241" xr:uid="{816D7568-42C8-4BE4-910F-6F70713B379A}"/>
    <cellStyle name="Comma 3 2 3 2 2" xfId="329" xr:uid="{6602C4B9-1AAE-448B-8207-C7B444E51329}"/>
    <cellStyle name="Comma 3 2 3 2 2 2" xfId="505" xr:uid="{81BD2A76-1DBA-4DCB-B67E-02A18D258AF7}"/>
    <cellStyle name="Comma 3 2 3 2 3" xfId="417" xr:uid="{4076110E-F0A8-4ECE-8E64-CA24D4C2F736}"/>
    <cellStyle name="Comma 3 2 3 3" xfId="285" xr:uid="{21AF839C-076A-4A0C-B029-D8E7DA1DAB0D}"/>
    <cellStyle name="Comma 3 2 3 3 2" xfId="461" xr:uid="{7782BADD-3C2C-4D2B-9EEB-8935F1C27508}"/>
    <cellStyle name="Comma 3 2 3 4" xfId="373" xr:uid="{4FE74D5D-6417-43BB-9618-80E770EEAA6B}"/>
    <cellStyle name="Comma 3 2 4" xfId="219" xr:uid="{2A4BC1A2-665B-48E6-BFEA-B25E921B87FE}"/>
    <cellStyle name="Comma 3 2 4 2" xfId="307" xr:uid="{86B285E1-7924-4A04-AC9F-B63ECE9CD3EE}"/>
    <cellStyle name="Comma 3 2 4 2 2" xfId="483" xr:uid="{FB6E7BAC-C256-4096-80E3-D45F139F7C99}"/>
    <cellStyle name="Comma 3 2 4 3" xfId="395" xr:uid="{3688303B-26A9-416E-ADDF-F5A8333F0755}"/>
    <cellStyle name="Comma 3 2 5" xfId="263" xr:uid="{816E0A37-2B50-4A7E-AF42-F6627909B4EB}"/>
    <cellStyle name="Comma 3 2 5 2" xfId="439" xr:uid="{85977557-D458-440E-B8A7-6CFCB69D28D0}"/>
    <cellStyle name="Comma 3 2 6" xfId="351" xr:uid="{C8EDEC06-703C-49EE-9C0F-5B5EE02E1DAB}"/>
    <cellStyle name="Comma 4" xfId="60" xr:uid="{38A35669-A23C-49F1-8711-22D57E95DDC3}"/>
    <cellStyle name="Comma 5" xfId="61" xr:uid="{D5F69113-8D6C-46FE-8BFE-64AD5E0EC10E}"/>
    <cellStyle name="Comma 6" xfId="62" xr:uid="{68344BBC-5A0C-4BF4-9B6B-D8FC937FE694}"/>
    <cellStyle name="Comma 7" xfId="63" xr:uid="{973D2772-9875-416F-B288-4CB962A0C467}"/>
    <cellStyle name="Comma 8" xfId="64" xr:uid="{5F598629-0F28-40A7-8270-C3B48C39DC8F}"/>
    <cellStyle name="Comma 9" xfId="65" xr:uid="{B619D691-5BCD-4D11-8C75-1EFFED2F9ED6}"/>
    <cellStyle name="Currency 2" xfId="66" xr:uid="{6E3688E1-FAD5-49EB-9EE2-B4B4C165BB97}"/>
    <cellStyle name="Currency 3" xfId="67" xr:uid="{34CFEE58-4798-41AB-A126-81656920253A}"/>
    <cellStyle name="Currency 4" xfId="68" xr:uid="{658F6BBC-D081-49D8-A6B0-7AEDEAB25BC1}"/>
    <cellStyle name="Currency 5" xfId="69" xr:uid="{727A2AAC-E94E-4EE0-8C69-9D10F7290E73}"/>
    <cellStyle name="Currency 6" xfId="70" xr:uid="{424D0B66-BFFF-4DE3-88B1-14CA5F4748D2}"/>
    <cellStyle name="Currency 7" xfId="71" xr:uid="{431B922A-427F-4A60-A719-307FB7CBA029}"/>
    <cellStyle name="Currency 8" xfId="72" xr:uid="{392441A4-05CA-47E0-822B-0BB32187D9AF}"/>
    <cellStyle name="Currency 8 2" xfId="187" xr:uid="{17D34941-ADB5-4FDA-9928-BF6400E0D40C}"/>
    <cellStyle name="Currency 8 2 2" xfId="209" xr:uid="{6243A937-BD04-4B10-986F-2B2BF2B37517}"/>
    <cellStyle name="Currency 8 2 2 2" xfId="253" xr:uid="{03A15F96-743B-434A-B700-6E5E7BCADE65}"/>
    <cellStyle name="Currency 8 2 2 2 2" xfId="341" xr:uid="{159B6A48-122A-48D2-947E-D4B79297C8DC}"/>
    <cellStyle name="Currency 8 2 2 2 2 2" xfId="517" xr:uid="{7B966210-26BF-4129-AFF1-27D86B9D3AA1}"/>
    <cellStyle name="Currency 8 2 2 2 3" xfId="429" xr:uid="{9F39B4EC-33E4-4EA7-B8A2-D48EACB88BC2}"/>
    <cellStyle name="Currency 8 2 2 3" xfId="297" xr:uid="{4A5E2618-8B3A-4958-942F-1AE10B35947C}"/>
    <cellStyle name="Currency 8 2 2 3 2" xfId="473" xr:uid="{FFF69B42-A5A0-4479-84EB-DCF12537FB48}"/>
    <cellStyle name="Currency 8 2 2 4" xfId="385" xr:uid="{7D93290C-3C66-41E3-B3C5-FE0A24E1BB27}"/>
    <cellStyle name="Currency 8 2 3" xfId="231" xr:uid="{5A9CE6E9-DD34-4FC3-9D79-CD54CE7D9E54}"/>
    <cellStyle name="Currency 8 2 3 2" xfId="319" xr:uid="{B6FA26BB-7900-41D5-A630-417F52871787}"/>
    <cellStyle name="Currency 8 2 3 2 2" xfId="495" xr:uid="{5A5C80C3-460E-4779-9406-622CB0108BD4}"/>
    <cellStyle name="Currency 8 2 3 3" xfId="407" xr:uid="{005469EF-98DF-429D-9476-346624C308AF}"/>
    <cellStyle name="Currency 8 2 4" xfId="275" xr:uid="{52955408-E461-458D-A847-0DB097B0C2BB}"/>
    <cellStyle name="Currency 8 2 4 2" xfId="451" xr:uid="{84179821-AFAB-4A5E-8270-D546C6686C0E}"/>
    <cellStyle name="Currency 8 2 5" xfId="363" xr:uid="{322ADA84-F52C-453E-B1A8-7ED9C1C12CF4}"/>
    <cellStyle name="Currency 8 3" xfId="198" xr:uid="{59FA39B9-04B8-411D-A84B-881831E32D4B}"/>
    <cellStyle name="Currency 8 3 2" xfId="242" xr:uid="{9EEFD281-332B-4603-823A-ECEE5AA67625}"/>
    <cellStyle name="Currency 8 3 2 2" xfId="330" xr:uid="{C86C6695-36B8-40E5-9D30-3B0BDC8C176B}"/>
    <cellStyle name="Currency 8 3 2 2 2" xfId="506" xr:uid="{28AFFD7B-2B45-454E-A086-88E560730B0E}"/>
    <cellStyle name="Currency 8 3 2 3" xfId="418" xr:uid="{D1168AFE-6A23-4D5F-907B-65CA81B2938A}"/>
    <cellStyle name="Currency 8 3 3" xfId="286" xr:uid="{FCE79726-B03D-41BA-A663-F052451F9809}"/>
    <cellStyle name="Currency 8 3 3 2" xfId="462" xr:uid="{39D85252-E991-4487-8BAD-CA35F982C2F1}"/>
    <cellStyle name="Currency 8 3 4" xfId="374" xr:uid="{61204378-0EDB-4B8B-8796-590C71C411B9}"/>
    <cellStyle name="Currency 8 4" xfId="220" xr:uid="{3D5CA199-4D73-4E4B-88E1-5FA0F7A43496}"/>
    <cellStyle name="Currency 8 4 2" xfId="308" xr:uid="{3E0AEC45-B2FE-45E2-BF00-3406ADC41569}"/>
    <cellStyle name="Currency 8 4 2 2" xfId="484" xr:uid="{5B0DC2EB-11FA-4925-B13C-25B01095666B}"/>
    <cellStyle name="Currency 8 4 3" xfId="396" xr:uid="{FD537E87-65D8-44A1-9DDA-BDE7AA5403F4}"/>
    <cellStyle name="Currency 8 5" xfId="264" xr:uid="{91A1D54A-6F35-4E92-92C9-3F88D6A75B8E}"/>
    <cellStyle name="Currency 8 5 2" xfId="440" xr:uid="{6284CC52-D258-4DE6-B41E-0DEB94A99170}"/>
    <cellStyle name="Currency 8 6" xfId="352" xr:uid="{ACAD33CA-9D20-4503-B449-59B3EE2EA2A2}"/>
    <cellStyle name="Explanatory Text" xfId="17" builtinId="53" customBuiltin="1"/>
    <cellStyle name="Good" xfId="7" builtinId="26" customBuiltin="1"/>
    <cellStyle name="Heading" xfId="73" xr:uid="{B5A2B1BB-652B-4F57-85B4-61E470FF50BB}"/>
    <cellStyle name="Heading 1" xfId="3" builtinId="16" customBuiltin="1"/>
    <cellStyle name="Heading 2" xfId="4" builtinId="17" customBuiltin="1"/>
    <cellStyle name="Heading 2 2" xfId="74" xr:uid="{A5A396CB-B37D-4C6D-8121-C09D39A18F33}"/>
    <cellStyle name="Heading 3" xfId="5" builtinId="18" customBuiltin="1"/>
    <cellStyle name="Heading 4" xfId="6" builtinId="19" customBuiltin="1"/>
    <cellStyle name="Heading2" xfId="75" xr:uid="{14795494-7F06-4A76-AEE2-9FE246703C84}"/>
    <cellStyle name="Hyperlink 10" xfId="76" xr:uid="{E36B27D8-2455-48A8-B66C-095149768C9A}"/>
    <cellStyle name="Hyperlink 10 2" xfId="77" xr:uid="{2F9819AF-FEC7-4FA7-AC27-8DF672C37399}"/>
    <cellStyle name="Hyperlink 10 3" xfId="78" xr:uid="{022E2D39-095B-421C-B698-BE62B2F59FAB}"/>
    <cellStyle name="Hyperlink 11" xfId="79" xr:uid="{0D4E6E24-3771-4539-B2AC-1FBB9D85B5E1}"/>
    <cellStyle name="Hyperlink 11 2" xfId="80" xr:uid="{5541B316-4462-44CF-9DD7-167B3E66FACB}"/>
    <cellStyle name="Hyperlink 11 3" xfId="81" xr:uid="{1B3F14A0-79CB-4B0C-B859-0D3AF3EB4288}"/>
    <cellStyle name="Hyperlink 12" xfId="82" xr:uid="{AEAF8C2A-0647-40E0-8E02-33D27F4EABD2}"/>
    <cellStyle name="Hyperlink 12 2" xfId="83" xr:uid="{FAA020D5-2274-40F2-9A4D-36D5C83CBAA1}"/>
    <cellStyle name="Hyperlink 12 3" xfId="84" xr:uid="{F1E1D038-013D-470C-8FC6-710F243B05F5}"/>
    <cellStyle name="Hyperlink 13" xfId="85" xr:uid="{CDCD5285-E27D-4020-A56F-2A3CCF7ADDBE}"/>
    <cellStyle name="Hyperlink 13 2" xfId="86" xr:uid="{48C8B2A0-3477-43A0-A2D1-AA255D17F566}"/>
    <cellStyle name="Hyperlink 13 3" xfId="87" xr:uid="{D68AD861-7146-4950-8E16-3A903AC49923}"/>
    <cellStyle name="Hyperlink 14" xfId="88" xr:uid="{2341518F-34BD-4643-88D3-730B400FFC6E}"/>
    <cellStyle name="Hyperlink 14 2" xfId="89" xr:uid="{3FC170E3-6F8E-4AC5-B1F6-EBFE287D68D5}"/>
    <cellStyle name="Hyperlink 14 3" xfId="90" xr:uid="{7054ACEF-E2B6-4478-9A55-231F187C8490}"/>
    <cellStyle name="Hyperlink 15" xfId="91" xr:uid="{B5801E41-D639-497A-9D93-8EB8A57FA058}"/>
    <cellStyle name="Hyperlink 15 2" xfId="92" xr:uid="{A98F386A-912D-4F14-8D41-1486323B5B74}"/>
    <cellStyle name="Hyperlink 15 3" xfId="93" xr:uid="{B7E99332-CF4E-455D-B954-3D2EED1880B5}"/>
    <cellStyle name="Hyperlink 16" xfId="94" xr:uid="{A3AF8B37-68D5-40E8-ACE6-A3A414A8A17F}"/>
    <cellStyle name="Hyperlink 16 2" xfId="95" xr:uid="{1FBC72AF-2BEF-471C-A296-DCFB0E9C0378}"/>
    <cellStyle name="Hyperlink 16 3" xfId="96" xr:uid="{5C3CA852-47D8-43C0-83B4-6C022B508AFE}"/>
    <cellStyle name="Hyperlink 17" xfId="97" xr:uid="{B407DF5F-BF26-4AB8-B4CC-430C0018EA6F}"/>
    <cellStyle name="Hyperlink 17 2" xfId="98" xr:uid="{C441BC84-E472-4F17-9CBA-05B5E1A25F34}"/>
    <cellStyle name="Hyperlink 17 3" xfId="99" xr:uid="{F710C172-6EBC-4ED1-B051-F638722CED44}"/>
    <cellStyle name="Hyperlink 18" xfId="100" xr:uid="{B636AE00-C7F6-4CCF-A1CB-03E3AB94F16E}"/>
    <cellStyle name="Hyperlink 18 2" xfId="101" xr:uid="{A7551E97-6331-4AB3-992E-6B781ADA3DA1}"/>
    <cellStyle name="Hyperlink 18 3" xfId="102" xr:uid="{E52EB47C-9EB2-4CE8-8344-B129036E7867}"/>
    <cellStyle name="Hyperlink 19" xfId="103" xr:uid="{507C298D-7AD2-47CA-B3D3-8A83DB6BDFA8}"/>
    <cellStyle name="Hyperlink 19 2" xfId="104" xr:uid="{244E2486-8081-44D4-9F1C-900F887EAE44}"/>
    <cellStyle name="Hyperlink 19 3" xfId="105" xr:uid="{54014337-B121-4821-A262-7CFC10F97D86}"/>
    <cellStyle name="Hyperlink 2" xfId="106" xr:uid="{1A760FE7-8ED0-4F4A-AC21-298B3DC64D35}"/>
    <cellStyle name="Hyperlink 2 2" xfId="107" xr:uid="{A0B1DBED-36D1-45FD-AF48-D779A821D641}"/>
    <cellStyle name="Hyperlink 2 3" xfId="108" xr:uid="{595B8899-6607-405D-9757-AA0B92B544FB}"/>
    <cellStyle name="Hyperlink 20" xfId="109" xr:uid="{9DE1B900-8377-4039-9E64-04665FF5F734}"/>
    <cellStyle name="Hyperlink 20 2" xfId="110" xr:uid="{46E96424-D32F-430B-A089-208FA12E0BED}"/>
    <cellStyle name="Hyperlink 20 3" xfId="111" xr:uid="{25DB5BAA-9344-4C95-B263-6F9976ADB80E}"/>
    <cellStyle name="Hyperlink 21" xfId="112" xr:uid="{1ABD1114-E539-483C-8BB8-4368665E218D}"/>
    <cellStyle name="Hyperlink 21 2" xfId="113" xr:uid="{682B37F5-6231-4801-8A97-A06C872603C7}"/>
    <cellStyle name="Hyperlink 21 3" xfId="114" xr:uid="{97580531-5AA7-4C18-B69F-F30102B1D711}"/>
    <cellStyle name="Hyperlink 22" xfId="115" xr:uid="{E4E782EA-3BC4-4C4C-8C4A-7CFAD4A6F7FF}"/>
    <cellStyle name="Hyperlink 22 2" xfId="116" xr:uid="{52964C80-0F6F-4310-AB76-9BFFFE4C6F0C}"/>
    <cellStyle name="Hyperlink 22 3" xfId="117" xr:uid="{155E58A9-B4BF-4E05-9306-4CF424C676ED}"/>
    <cellStyle name="Hyperlink 23" xfId="118" xr:uid="{A8551E1F-0E0A-42BA-9FF3-8216207765E3}"/>
    <cellStyle name="Hyperlink 23 2" xfId="119" xr:uid="{9072C8DA-D5CC-4F17-BD8A-D55957DEECE2}"/>
    <cellStyle name="Hyperlink 23 3" xfId="120" xr:uid="{63320D4A-F1C1-437A-ABC6-EE321561ACC6}"/>
    <cellStyle name="Hyperlink 24" xfId="121" xr:uid="{400D3893-63CF-415E-92F9-866AA399A8D0}"/>
    <cellStyle name="Hyperlink 25" xfId="122" xr:uid="{A3B6A62C-1BB2-42AE-BE51-C16921DBED90}"/>
    <cellStyle name="Hyperlink 26" xfId="123" xr:uid="{874565E1-4376-4A41-AFC6-C1930E02DFB2}"/>
    <cellStyle name="Hyperlink 27" xfId="124" xr:uid="{10877141-677A-4017-9B62-66E45A8559E1}"/>
    <cellStyle name="Hyperlink 28" xfId="125" xr:uid="{982F5E44-34DC-4FA6-8B7A-0B5B941BBA81}"/>
    <cellStyle name="Hyperlink 29" xfId="126" xr:uid="{1E004B0C-83F8-44E8-86CD-55CF528D1258}"/>
    <cellStyle name="Hyperlink 3" xfId="127" xr:uid="{44064736-61A2-409C-8594-A1AD99766EEA}"/>
    <cellStyle name="Hyperlink 3 2" xfId="128" xr:uid="{FED597F2-3C91-465C-B6D5-2EBECDC9C7DD}"/>
    <cellStyle name="Hyperlink 3 3" xfId="129" xr:uid="{E52AFA9E-1FE8-440F-A10A-3136F769F9E6}"/>
    <cellStyle name="Hyperlink 30" xfId="130" xr:uid="{03D3C579-22B2-45AE-B0D8-B0014E4191B7}"/>
    <cellStyle name="Hyperlink 31" xfId="131" xr:uid="{FDF9951F-6758-4ECA-A8A2-2B4A18013106}"/>
    <cellStyle name="Hyperlink 32" xfId="132" xr:uid="{F58DE33E-664D-489F-8CA8-BC806CBE643F}"/>
    <cellStyle name="Hyperlink 33" xfId="133" xr:uid="{757C4DAA-1058-41E3-9E1B-789BE63E25B2}"/>
    <cellStyle name="Hyperlink 33 2" xfId="134" xr:uid="{8D9B29E7-8659-4602-9661-823F32DC2497}"/>
    <cellStyle name="Hyperlink 33 3" xfId="135" xr:uid="{786B1C88-530E-4738-8153-587B8BE2B500}"/>
    <cellStyle name="Hyperlink 34" xfId="136" xr:uid="{A3E3C5A4-90ED-4E7A-87A4-EF6667435514}"/>
    <cellStyle name="Hyperlink 34 2" xfId="137" xr:uid="{20B48A00-E05B-4700-8D69-B195F7C2032B}"/>
    <cellStyle name="Hyperlink 34 3" xfId="138" xr:uid="{577D7576-1D5B-4E58-A538-3801B5E5E722}"/>
    <cellStyle name="Hyperlink 34 4" xfId="139" xr:uid="{CD266285-C573-4EB3-84B8-BFBF028DB4A8}"/>
    <cellStyle name="Hyperlink 34 5" xfId="140" xr:uid="{7802105D-C166-4013-B115-343C6DDFFA08}"/>
    <cellStyle name="Hyperlink 4" xfId="141" xr:uid="{C4958EC0-1C66-4D14-9338-47B4E1D4FB33}"/>
    <cellStyle name="Hyperlink 4 2" xfId="142" xr:uid="{230494B7-78E6-46AF-BFAC-BCE4A378FD1A}"/>
    <cellStyle name="Hyperlink 4 3" xfId="143" xr:uid="{6FDF8BB7-6BBD-4123-9E85-FAEE84DFDCFD}"/>
    <cellStyle name="Hyperlink 5" xfId="144" xr:uid="{F3146EEC-0AE2-4769-A008-A38BF856E219}"/>
    <cellStyle name="Hyperlink 5 2" xfId="145" xr:uid="{FF70F32E-D860-4425-8458-A12AD06D46D6}"/>
    <cellStyle name="Hyperlink 5 3" xfId="146" xr:uid="{9CAF447B-9385-4338-A8FE-82934BB1750D}"/>
    <cellStyle name="Hyperlink 6" xfId="147" xr:uid="{900D690D-EB64-4FA0-AABC-4FE5DA11D256}"/>
    <cellStyle name="Hyperlink 6 2" xfId="148" xr:uid="{2A743084-254B-4D32-8065-3A28E3E00FEC}"/>
    <cellStyle name="Hyperlink 6 3" xfId="149" xr:uid="{5A957072-8DDF-4FF7-AFA2-060C9A28996C}"/>
    <cellStyle name="Hyperlink 7" xfId="150" xr:uid="{97F82A3B-909F-43E7-ABCC-B1A5FDB3F859}"/>
    <cellStyle name="Hyperlink 7 2" xfId="151" xr:uid="{8C8BF412-53DA-4DAA-A5C8-1FF4B43E2FD1}"/>
    <cellStyle name="Hyperlink 7 3" xfId="152" xr:uid="{E3DAE83C-0B97-4379-B41A-572A68A3C903}"/>
    <cellStyle name="Hyperlink 8" xfId="153" xr:uid="{587A5A58-4E18-4FE3-B46E-97B906E49911}"/>
    <cellStyle name="Hyperlink 8 2" xfId="154" xr:uid="{5F201492-3CF5-4E76-B606-28EB1ABB630F}"/>
    <cellStyle name="Hyperlink 8 3" xfId="155" xr:uid="{E5CBFFA1-33D4-4707-B7D5-13159C1C75C5}"/>
    <cellStyle name="Hyperlink 9" xfId="156" xr:uid="{F3EEA42A-7D17-4098-A865-C2B7F2F0025F}"/>
    <cellStyle name="Hyperlink 9 2" xfId="157" xr:uid="{D15B2F84-20F1-461A-80E1-487AD0D1770F}"/>
    <cellStyle name="Hyperlink 9 3" xfId="158" xr:uid="{0867A895-F896-4F86-86D9-280201CAF60C}"/>
    <cellStyle name="Input" xfId="10" builtinId="20" customBuiltin="1"/>
    <cellStyle name="Input 2" xfId="159" xr:uid="{2D3200BA-52FF-43F3-9C6E-14CB47A7AD58}"/>
    <cellStyle name="Linked" xfId="160" xr:uid="{46E1CD9F-F0F9-4B46-B2E0-5A9C44F0A9F9}"/>
    <cellStyle name="Linked Cell" xfId="13" builtinId="24" customBuiltin="1"/>
    <cellStyle name="Neutral" xfId="9" builtinId="28" customBuiltin="1"/>
    <cellStyle name="Normal" xfId="0" builtinId="0"/>
    <cellStyle name="Normal 2" xfId="44" xr:uid="{969BB319-D053-44FA-92AA-66DA37FAA1B3}"/>
    <cellStyle name="Normal 2 2" xfId="43" xr:uid="{FD165891-C27B-43BB-9B22-4760324669BB}"/>
    <cellStyle name="Normal 2 2 2" xfId="161" xr:uid="{77AF1608-60C1-4966-86B1-7A10AFFE91F8}"/>
    <cellStyle name="Normal 2 2 2 2" xfId="188" xr:uid="{C3233C28-7049-4948-B323-06B214C5F4AE}"/>
    <cellStyle name="Normal 2 2 2 2 2" xfId="210" xr:uid="{2E71EB9A-F41C-41EE-9BC9-038C963872F4}"/>
    <cellStyle name="Normal 2 2 2 2 2 2" xfId="254" xr:uid="{08A1BFC2-4943-4349-871B-BC202F4A7EB6}"/>
    <cellStyle name="Normal 2 2 2 2 2 2 2" xfId="342" xr:uid="{0BDCC7C6-B6E9-4FC0-9EC3-6D246141A1D1}"/>
    <cellStyle name="Normal 2 2 2 2 2 2 2 2" xfId="518" xr:uid="{32A6013B-38A7-435F-85D5-0F6424164FFE}"/>
    <cellStyle name="Normal 2 2 2 2 2 2 3" xfId="430" xr:uid="{55E0F568-4056-4BF2-860F-83AE8DEF233F}"/>
    <cellStyle name="Normal 2 2 2 2 2 3" xfId="298" xr:uid="{2EFA5BEC-17A4-48A7-94A6-D42203B440EF}"/>
    <cellStyle name="Normal 2 2 2 2 2 3 2" xfId="474" xr:uid="{14BDCCF0-7C68-47EE-80CB-034BB3C95C39}"/>
    <cellStyle name="Normal 2 2 2 2 2 4" xfId="386" xr:uid="{219751A9-12A5-4FDA-B331-96EA8F955B2D}"/>
    <cellStyle name="Normal 2 2 2 2 3" xfId="232" xr:uid="{2B9A9D6E-D2B5-4CAE-9513-4474DD6A7279}"/>
    <cellStyle name="Normal 2 2 2 2 3 2" xfId="320" xr:uid="{644D7B32-DA81-41BD-A8D6-DF4ADD37E41C}"/>
    <cellStyle name="Normal 2 2 2 2 3 2 2" xfId="496" xr:uid="{63857027-C152-4477-B05E-603EA85A1C34}"/>
    <cellStyle name="Normal 2 2 2 2 3 3" xfId="408" xr:uid="{F5532DBD-FAA1-48D7-9C52-081599F2E4F9}"/>
    <cellStyle name="Normal 2 2 2 2 4" xfId="276" xr:uid="{7E6E7AC8-FD66-45BF-83D4-83B0843F6BFE}"/>
    <cellStyle name="Normal 2 2 2 2 4 2" xfId="452" xr:uid="{37226846-6C16-48B4-BDC9-539591954C1B}"/>
    <cellStyle name="Normal 2 2 2 2 5" xfId="364" xr:uid="{548BF47C-FABE-46FF-9B03-06D7A31E457F}"/>
    <cellStyle name="Normal 2 2 2 3" xfId="199" xr:uid="{EF941C00-309C-4CF3-B42E-0C206ED18626}"/>
    <cellStyle name="Normal 2 2 2 3 2" xfId="243" xr:uid="{191A7082-7967-466C-BBE7-0F92287CF4E0}"/>
    <cellStyle name="Normal 2 2 2 3 2 2" xfId="331" xr:uid="{6368BC5B-4FFA-45CB-A9FC-D3846DE642B0}"/>
    <cellStyle name="Normal 2 2 2 3 2 2 2" xfId="507" xr:uid="{19822B9A-5942-4330-BB9A-393E9664C690}"/>
    <cellStyle name="Normal 2 2 2 3 2 3" xfId="419" xr:uid="{CBB57AF9-3DF2-4810-BB0B-02C0D9F794F8}"/>
    <cellStyle name="Normal 2 2 2 3 3" xfId="287" xr:uid="{83C4EB0E-4F11-4D93-AB7B-5C34466407B3}"/>
    <cellStyle name="Normal 2 2 2 3 3 2" xfId="463" xr:uid="{C1FCB108-C533-440C-9A1F-B6BC214332E2}"/>
    <cellStyle name="Normal 2 2 2 3 4" xfId="375" xr:uid="{FF5C34DE-5A8A-43C7-A990-6A96E3613433}"/>
    <cellStyle name="Normal 2 2 2 4" xfId="221" xr:uid="{01BC1F9F-6443-4D6D-9BB3-BF02427992E8}"/>
    <cellStyle name="Normal 2 2 2 4 2" xfId="309" xr:uid="{26910E5C-6EAC-4D27-AD96-5F236BE256F1}"/>
    <cellStyle name="Normal 2 2 2 4 2 2" xfId="485" xr:uid="{A618CBB7-122A-4E06-84F3-15D2E9DA2A35}"/>
    <cellStyle name="Normal 2 2 2 4 3" xfId="397" xr:uid="{3515459B-1F66-4A86-AE72-1B7A14A2CF4F}"/>
    <cellStyle name="Normal 2 2 2 5" xfId="265" xr:uid="{C3A38CB2-4230-47F8-A13E-EBD0B064E5C6}"/>
    <cellStyle name="Normal 2 2 2 5 2" xfId="441" xr:uid="{A31AF066-50B6-4776-9990-76BA8251E5DF}"/>
    <cellStyle name="Normal 2 2 2 6" xfId="353" xr:uid="{55FC7E85-A8DD-4175-977D-13EC63E462DA}"/>
    <cellStyle name="Normal 3" xfId="162" xr:uid="{EE57E12B-34FC-497C-9195-3F2CB5416E92}"/>
    <cellStyle name="Normal 4" xfId="163" xr:uid="{59B1C78C-DE0E-4686-A1E1-057A16A6D035}"/>
    <cellStyle name="Normal 5" xfId="164" xr:uid="{20DE45F0-6AD5-42B3-AA9D-80E9DEB50B4E}"/>
    <cellStyle name="Normal 6" xfId="165" xr:uid="{5ABE3C27-1015-4D44-923D-25586DD0FD6F}"/>
    <cellStyle name="Normal 6 2" xfId="189" xr:uid="{110A81F7-A0D5-45A3-8281-2413EE1EE851}"/>
    <cellStyle name="Normal 6 2 2" xfId="211" xr:uid="{3E6896D7-B024-4E3F-ACFB-2C499399A35E}"/>
    <cellStyle name="Normal 6 2 2 2" xfId="255" xr:uid="{3CE8499A-C3C8-46EE-8654-34F04E61C4BF}"/>
    <cellStyle name="Normal 6 2 2 2 2" xfId="343" xr:uid="{B7EA9263-1577-41AF-B4DF-93448FF29880}"/>
    <cellStyle name="Normal 6 2 2 2 2 2" xfId="519" xr:uid="{5AFF4D94-479F-4E22-B1C3-B623C4792D04}"/>
    <cellStyle name="Normal 6 2 2 2 3" xfId="431" xr:uid="{E99DCED2-6FF0-44A9-9AFC-919EE6E3E886}"/>
    <cellStyle name="Normal 6 2 2 3" xfId="299" xr:uid="{0342E0CD-D923-4A7B-8D20-ACDC714340D1}"/>
    <cellStyle name="Normal 6 2 2 3 2" xfId="475" xr:uid="{6C34D108-18D3-4402-BEA6-18A192DB2A87}"/>
    <cellStyle name="Normal 6 2 2 4" xfId="387" xr:uid="{34E6A4C0-2CAA-4BBB-AAEA-FF3C551C179D}"/>
    <cellStyle name="Normal 6 2 3" xfId="233" xr:uid="{5E198B13-0465-4918-96EF-F71823117781}"/>
    <cellStyle name="Normal 6 2 3 2" xfId="321" xr:uid="{B8331568-51A9-4B52-99B0-170BC8314D1A}"/>
    <cellStyle name="Normal 6 2 3 2 2" xfId="497" xr:uid="{0DD48E74-297C-473D-AA26-8799EC01148E}"/>
    <cellStyle name="Normal 6 2 3 3" xfId="409" xr:uid="{C3E7C077-706A-40D2-B16B-640BE508A174}"/>
    <cellStyle name="Normal 6 2 4" xfId="277" xr:uid="{E94C03CB-AC2A-4735-A9D3-4CE68957D8B8}"/>
    <cellStyle name="Normal 6 2 4 2" xfId="453" xr:uid="{7FEC8BA0-E6F6-4864-B2BD-DE43BE87B2F2}"/>
    <cellStyle name="Normal 6 2 5" xfId="365" xr:uid="{1540B31B-0D7E-48F1-8B9E-923F54211E79}"/>
    <cellStyle name="Normal 6 3" xfId="200" xr:uid="{5CE311FE-2D43-4397-9781-030BB6F0F1F1}"/>
    <cellStyle name="Normal 6 3 2" xfId="244" xr:uid="{8BAD5A9F-DDA2-4075-A749-CAFE244D481E}"/>
    <cellStyle name="Normal 6 3 2 2" xfId="332" xr:uid="{CC7E7584-5201-4F7F-B391-E42D80F20C62}"/>
    <cellStyle name="Normal 6 3 2 2 2" xfId="508" xr:uid="{AF98E520-8D0B-41A1-BA0A-5611A27B6AB4}"/>
    <cellStyle name="Normal 6 3 2 3" xfId="420" xr:uid="{1CDC1FF1-61C3-4F61-89A5-73542A87852F}"/>
    <cellStyle name="Normal 6 3 3" xfId="288" xr:uid="{33ED7596-58A8-45AE-9CDB-6593561767F3}"/>
    <cellStyle name="Normal 6 3 3 2" xfId="464" xr:uid="{68D18F2C-3572-40BF-99BD-3BC031ACFFFC}"/>
    <cellStyle name="Normal 6 3 4" xfId="376" xr:uid="{440125D0-2A3F-4FAF-BF55-4A4B67A1170F}"/>
    <cellStyle name="Normal 6 4" xfId="222" xr:uid="{90013D9D-8428-45FE-847C-9437CB9CF3FE}"/>
    <cellStyle name="Normal 6 4 2" xfId="310" xr:uid="{4AB41F60-2268-496C-8203-7C9A6606D3FA}"/>
    <cellStyle name="Normal 6 4 2 2" xfId="486" xr:uid="{086AB49C-48A3-4CB3-ADDB-ABDFEB0B28DB}"/>
    <cellStyle name="Normal 6 4 3" xfId="398" xr:uid="{B5632561-0AB2-4F8F-BB78-3D9695E454CD}"/>
    <cellStyle name="Normal 6 5" xfId="266" xr:uid="{9B320CB2-06DA-4B66-8974-9FC4956AE91B}"/>
    <cellStyle name="Normal 6 5 2" xfId="442" xr:uid="{7822FFE6-57FF-4D49-8118-A834E79CFA11}"/>
    <cellStyle name="Normal 6 6" xfId="354" xr:uid="{BDA19765-5518-4CD9-8B28-D68DEA99D719}"/>
    <cellStyle name="Normal 7" xfId="166" xr:uid="{0F8A3552-60BA-4196-9684-414D782EDC75}"/>
    <cellStyle name="Normal 8" xfId="167" xr:uid="{F2ACA063-0A24-4F11-8658-975BFB5DB110}"/>
    <cellStyle name="Normal Small" xfId="168" xr:uid="{D70C62ED-6D78-4AF1-81BC-8AEED439284E}"/>
    <cellStyle name="Note" xfId="16" builtinId="10" customBuiltin="1"/>
    <cellStyle name="Output" xfId="11" builtinId="21" customBuiltin="1"/>
    <cellStyle name="Percent 2" xfId="169" xr:uid="{74F49A52-B7E4-4BDA-996C-BF4EC754180B}"/>
    <cellStyle name="Percent 2 2" xfId="170" xr:uid="{1B4D8FC6-A07E-4E7B-B8F3-DD837BF440CD}"/>
    <cellStyle name="Percent 2 3" xfId="171" xr:uid="{20FEAF1C-4320-4115-B93A-92029AFF1E95}"/>
    <cellStyle name="Percent 2 4" xfId="190" xr:uid="{D97F4162-215A-4CC5-A59B-49E65771FCC1}"/>
    <cellStyle name="Percent 2 4 2" xfId="212" xr:uid="{95557C71-F4F4-408C-978B-77D78FBC633A}"/>
    <cellStyle name="Percent 2 4 2 2" xfId="256" xr:uid="{FBF1C31B-080E-493E-A275-92C8CF3D3252}"/>
    <cellStyle name="Percent 2 4 2 2 2" xfId="344" xr:uid="{BB6B3206-6607-4E47-BA6C-F66B9986890D}"/>
    <cellStyle name="Percent 2 4 2 2 2 2" xfId="520" xr:uid="{B1BE5C13-7F0C-4785-BC30-47EA19CE4BBC}"/>
    <cellStyle name="Percent 2 4 2 2 3" xfId="432" xr:uid="{D2E9BEB8-04EC-4E43-B60B-685C78A6C834}"/>
    <cellStyle name="Percent 2 4 2 3" xfId="300" xr:uid="{CDFA24AA-4067-4053-BD2C-53C147824DEB}"/>
    <cellStyle name="Percent 2 4 2 3 2" xfId="476" xr:uid="{540BEB62-8A77-4D22-AA30-B68995DAC834}"/>
    <cellStyle name="Percent 2 4 2 4" xfId="388" xr:uid="{B478BA04-5314-4AD8-8455-8599978A471A}"/>
    <cellStyle name="Percent 2 4 3" xfId="234" xr:uid="{4088E9BD-8CA9-443B-9091-AE0D146A84E8}"/>
    <cellStyle name="Percent 2 4 3 2" xfId="322" xr:uid="{AF052664-7FF3-4D83-B7BC-832F2DAF1941}"/>
    <cellStyle name="Percent 2 4 3 2 2" xfId="498" xr:uid="{47C46533-D21F-470F-AC1F-B54A05208C34}"/>
    <cellStyle name="Percent 2 4 3 3" xfId="410" xr:uid="{E376353F-B340-472C-A91E-EE048D32FA32}"/>
    <cellStyle name="Percent 2 4 4" xfId="278" xr:uid="{D5280176-B5AF-432D-8BFB-8C4163AD90DF}"/>
    <cellStyle name="Percent 2 4 4 2" xfId="454" xr:uid="{1EF2A648-791E-4B95-A882-B06BE398290B}"/>
    <cellStyle name="Percent 2 4 5" xfId="366" xr:uid="{C43BB5FF-9E96-4413-822B-0B4C13E9DD7A}"/>
    <cellStyle name="Percent 2 5" xfId="201" xr:uid="{7102B8DD-D79C-4C29-9098-97ECFE2CA74D}"/>
    <cellStyle name="Percent 2 5 2" xfId="245" xr:uid="{E6B4EF4B-3EA5-4B35-AAC6-E2994BC43472}"/>
    <cellStyle name="Percent 2 5 2 2" xfId="333" xr:uid="{D2B80BA0-E0DB-4FA3-BEC8-A6DE64445A3A}"/>
    <cellStyle name="Percent 2 5 2 2 2" xfId="509" xr:uid="{D9412E4D-73AE-4219-9BC8-DA95C6DF6577}"/>
    <cellStyle name="Percent 2 5 2 3" xfId="421" xr:uid="{6B4C6ADD-F747-479E-B519-58ECA93C6968}"/>
    <cellStyle name="Percent 2 5 3" xfId="289" xr:uid="{E5D7E0F5-7345-463B-BB9D-89304F548EB6}"/>
    <cellStyle name="Percent 2 5 3 2" xfId="465" xr:uid="{2B7C0A0A-CDEC-4E84-BCA6-6B424C88A87D}"/>
    <cellStyle name="Percent 2 5 4" xfId="377" xr:uid="{EE085C29-6092-49AB-B941-33BC97C9791E}"/>
    <cellStyle name="Percent 2 6" xfId="223" xr:uid="{8E3CC445-B1C2-4A95-ABFA-466675670A3D}"/>
    <cellStyle name="Percent 2 6 2" xfId="311" xr:uid="{9BA444AB-3C1D-44DD-9100-E968585ADAE0}"/>
    <cellStyle name="Percent 2 6 2 2" xfId="487" xr:uid="{8B5BF3F6-0009-49ED-AC42-94BB1A174E24}"/>
    <cellStyle name="Percent 2 6 3" xfId="399" xr:uid="{774AF0DD-84ED-4D4F-824F-6F6A53AC80F6}"/>
    <cellStyle name="Percent 2 7" xfId="267" xr:uid="{6BFCD837-79C8-4498-81AB-5377CD7DD201}"/>
    <cellStyle name="Percent 2 7 2" xfId="443" xr:uid="{31695CBF-A5A1-42F6-8845-8A8572E99A03}"/>
    <cellStyle name="Percent 2 8" xfId="355" xr:uid="{2EB1DFEB-018E-4F6A-BA54-3AB6661EE029}"/>
    <cellStyle name="Percent 3" xfId="172" xr:uid="{D23B2573-FBAC-415D-B551-CA03035C1E4D}"/>
    <cellStyle name="Percent 3 2" xfId="173" xr:uid="{5D988977-6821-418F-BCE9-E94E3F55DA7E}"/>
    <cellStyle name="Results" xfId="174" xr:uid="{9CC0D513-1A0B-4C93-9605-167F3C1E7E12}"/>
    <cellStyle name="Title" xfId="2" builtinId="15" customBuiltin="1"/>
    <cellStyle name="Title 2" xfId="175" xr:uid="{3CC2DF4E-2A76-401F-90A0-5A836F494F65}"/>
    <cellStyle name="Title 3" xfId="176" xr:uid="{873E1463-050E-413C-8492-E32599804396}"/>
    <cellStyle name="Total" xfId="18" builtinId="25" customBuiltin="1"/>
    <cellStyle name="Unit" xfId="177" xr:uid="{B73ED4BE-A089-493D-AD0F-3BA3908AB814}"/>
    <cellStyle name="UserInput" xfId="178" xr:uid="{072BCC75-072A-4AE8-9C53-0DA66E967BD3}"/>
    <cellStyle name="Variable" xfId="179" xr:uid="{18394D33-A50A-42AD-93B6-5EAC277371F8}"/>
    <cellStyle name="Warning Text" xfId="15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4DA5F2F-1231-4A98-8FD0-8120A67D9BA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C0DD-3B6C-4542-B9F4-E24D3803CFCD}">
  <dimension ref="A1:K14"/>
  <sheetViews>
    <sheetView tabSelected="1" workbookViewId="0">
      <selection activeCell="A2" sqref="A2:A5"/>
    </sheetView>
  </sheetViews>
  <sheetFormatPr defaultRowHeight="14.4"/>
  <cols>
    <col min="1" max="1" width="20.21875" bestFit="1" customWidth="1"/>
    <col min="2" max="2" width="14.77734375" bestFit="1" customWidth="1"/>
    <col min="3" max="3" width="13.6640625" bestFit="1" customWidth="1"/>
    <col min="4" max="4" width="13.33203125" bestFit="1" customWidth="1"/>
    <col min="5" max="5" width="20.6640625" bestFit="1" customWidth="1"/>
    <col min="6" max="6" width="16.44140625" bestFit="1" customWidth="1"/>
    <col min="7" max="7" width="20.5546875" bestFit="1" customWidth="1"/>
    <col min="8" max="8" width="17" bestFit="1" customWidth="1"/>
    <col min="9" max="9" width="12" bestFit="1" customWidth="1"/>
    <col min="10" max="10" width="11" bestFit="1" customWidth="1"/>
    <col min="11" max="11" width="1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13</v>
      </c>
      <c r="I1" t="s">
        <v>15</v>
      </c>
      <c r="J1" t="s">
        <v>16</v>
      </c>
      <c r="K1" s="5" t="s">
        <v>17</v>
      </c>
    </row>
    <row r="2" spans="1:11">
      <c r="A2" t="s">
        <v>7</v>
      </c>
      <c r="B2" s="1">
        <v>101</v>
      </c>
      <c r="C2" s="1">
        <v>77556.17</v>
      </c>
      <c r="D2" s="1">
        <v>767.88287128712795</v>
      </c>
      <c r="E2" s="1">
        <v>229265078.57800001</v>
      </c>
      <c r="F2" s="1">
        <v>679392049.19999897</v>
      </c>
      <c r="G2" s="1">
        <v>33.745622847362498</v>
      </c>
      <c r="H2" s="4">
        <v>33888448.158415802</v>
      </c>
      <c r="I2" s="1">
        <f>B10*D2*1000</f>
        <v>59894863.960395984</v>
      </c>
      <c r="J2" s="7">
        <f>C10*D2*8760*(G2/100)</f>
        <v>19203787.769998748</v>
      </c>
      <c r="K2" s="3">
        <f>SUM(I2:J2)</f>
        <v>79098651.730394736</v>
      </c>
    </row>
    <row r="3" spans="1:11">
      <c r="A3" t="s">
        <v>8</v>
      </c>
      <c r="B3" s="1">
        <v>64</v>
      </c>
      <c r="C3" s="1">
        <v>42601.83</v>
      </c>
      <c r="D3" s="1">
        <v>665.65359375000003</v>
      </c>
      <c r="E3" s="1">
        <v>189584695.005</v>
      </c>
      <c r="F3" s="1">
        <v>373192030.80000001</v>
      </c>
      <c r="G3" s="1">
        <v>50.800842289850898</v>
      </c>
      <c r="H3" s="4">
        <v>15370010.125</v>
      </c>
      <c r="I3" s="1">
        <f t="shared" ref="I3:I5" si="0">B11*D3*1000</f>
        <v>20635261.40625</v>
      </c>
      <c r="J3" s="7">
        <f t="shared" ref="J3:J5" si="1">C11*D3*8760*(G3/100)</f>
        <v>5806031.2845281195</v>
      </c>
      <c r="K3" s="3">
        <f t="shared" ref="K3:K5" si="2">SUM(I3:J3)</f>
        <v>26441292.690778121</v>
      </c>
    </row>
    <row r="4" spans="1:11">
      <c r="A4" t="s">
        <v>9</v>
      </c>
      <c r="B4" s="1">
        <v>126</v>
      </c>
      <c r="C4" s="1">
        <v>34722.31</v>
      </c>
      <c r="D4" s="1">
        <v>275.57388888888801</v>
      </c>
      <c r="E4" s="1">
        <v>37254672.508000001</v>
      </c>
      <c r="F4" s="1">
        <v>304167435.59999901</v>
      </c>
      <c r="G4" s="1">
        <v>12.248080546331799</v>
      </c>
      <c r="H4" s="4">
        <v>2301614.7777777701</v>
      </c>
      <c r="I4" s="1">
        <f t="shared" si="0"/>
        <v>6613773.3333333125</v>
      </c>
      <c r="J4" s="7">
        <f t="shared" si="1"/>
        <v>1904127.7059644335</v>
      </c>
      <c r="K4" s="3">
        <f t="shared" si="2"/>
        <v>8517901.0392977465</v>
      </c>
    </row>
    <row r="5" spans="1:11">
      <c r="A5" t="s">
        <v>10</v>
      </c>
      <c r="B5" s="1">
        <v>24</v>
      </c>
      <c r="C5" s="1">
        <v>31871.13</v>
      </c>
      <c r="D5" s="1">
        <v>1327.9637499999999</v>
      </c>
      <c r="E5" s="1">
        <v>215702478.65900001</v>
      </c>
      <c r="F5" s="1">
        <v>279191098.80000001</v>
      </c>
      <c r="G5" s="1">
        <v>77.259797889731203</v>
      </c>
      <c r="H5" s="4">
        <v>231306149.166666</v>
      </c>
      <c r="I5" s="1">
        <f t="shared" si="0"/>
        <v>201850490</v>
      </c>
      <c r="J5" s="7">
        <f t="shared" si="1"/>
        <v>17975206.554916646</v>
      </c>
      <c r="K5" s="3">
        <f t="shared" si="2"/>
        <v>219825696.55491665</v>
      </c>
    </row>
    <row r="8" spans="1:11">
      <c r="E8" s="7">
        <f>D2*8760*(G2/100)</f>
        <v>2269951.2730494975</v>
      </c>
    </row>
    <row r="9" spans="1:11">
      <c r="A9" t="s">
        <v>11</v>
      </c>
      <c r="B9" t="s">
        <v>14</v>
      </c>
      <c r="C9" t="s">
        <v>12</v>
      </c>
      <c r="E9" s="1">
        <f>E8*C10</f>
        <v>19203787.769998752</v>
      </c>
      <c r="F9" s="6"/>
    </row>
    <row r="10" spans="1:11">
      <c r="A10" t="s">
        <v>7</v>
      </c>
      <c r="B10" s="2">
        <v>78</v>
      </c>
      <c r="C10" s="8">
        <v>8.4600000000000009</v>
      </c>
      <c r="H10" s="5" t="s">
        <v>13</v>
      </c>
      <c r="I10" s="5" t="s">
        <v>17</v>
      </c>
    </row>
    <row r="11" spans="1:11">
      <c r="A11" t="s">
        <v>8</v>
      </c>
      <c r="B11" s="2">
        <v>31</v>
      </c>
      <c r="C11" s="8">
        <v>1.96</v>
      </c>
      <c r="H11" s="4">
        <v>33888448.158415802</v>
      </c>
      <c r="I11" s="3">
        <v>79098651.730394736</v>
      </c>
    </row>
    <row r="12" spans="1:11">
      <c r="A12" t="s">
        <v>9</v>
      </c>
      <c r="B12" s="2">
        <v>24</v>
      </c>
      <c r="C12" s="8">
        <v>6.44</v>
      </c>
      <c r="H12" s="4">
        <v>15370010.125</v>
      </c>
      <c r="I12" s="3">
        <v>26441292.690778121</v>
      </c>
    </row>
    <row r="13" spans="1:11">
      <c r="A13" t="s">
        <v>10</v>
      </c>
      <c r="B13" s="2">
        <v>152</v>
      </c>
      <c r="C13" s="2">
        <v>2</v>
      </c>
      <c r="H13" s="4">
        <v>2301614.7777777701</v>
      </c>
      <c r="I13" s="3">
        <v>8517901.0392977465</v>
      </c>
    </row>
    <row r="14" spans="1:11">
      <c r="H14" s="4">
        <v>231306149.166666</v>
      </c>
      <c r="I14" s="3">
        <v>219825696.55491665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opex_2023_atb_compare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Dahlke, Steven</cp:lastModifiedBy>
  <dcterms:created xsi:type="dcterms:W3CDTF">2025-12-09T18:36:21Z</dcterms:created>
  <dcterms:modified xsi:type="dcterms:W3CDTF">2025-12-12T21:53:30Z</dcterms:modified>
</cp:coreProperties>
</file>